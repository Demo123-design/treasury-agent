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vables Forecast" sheetId="1" state="visible" r:id="rId3"/>
    <sheet name="Forecast Confid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<sst xmlns="http://schemas.openxmlformats.org/spreadsheetml/2006/main" count="80" uniqueCount="50">
  <si>
    <t xml:space="preserve">PI INDUSTRIES LIMITED — Monthly Export Receivables Forecast (Next 12 Months)</t>
  </si>
  <si>
    <t xml:space="preserve">Prepared by: Treasury Department | Date: 14-Apr-2026 | Basis: Confirmed orders + Pipeline estimates | CONFIDENTIAL</t>
  </si>
  <si>
    <t xml:space="preserve">SECTION A: USD RECEIVABLES FORECAST (in USD)</t>
  </si>
  <si>
    <t xml:space="preserve">Customer / Segment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</si>
  <si>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</si>
  <si>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</si>
  <si>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</si>
  <si>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</si>
  <si>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</si>
  <si>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</si>
  <si>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</si>
  <si>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</si>
  <si>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</si>
  <si>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Feb-2027</t>
  </si>
  <si>
    <t xml:space="preserve">Mar-2027</t>
  </si>
  <si>
    <t xml:space="preserve">Apr-2027</t>
  </si>
  <si>
    <t xml:space="preserve">Total (12M)</t>
  </si>
  <si>
    <t xml:space="preserve">% Share</t>
  </si>
  <si>
    <t xml:space="preserve">Syngenta Crop Protection AG</t>
  </si>
  <si>
    <t xml:space="preserve">UPL Corporation Ltd</t>
  </si>
  <si>
    <t xml:space="preserve">FMC Corporation</t>
  </si>
  <si>
    <t xml:space="preserve">Sumitomo Chemical Co.</t>
  </si>
  <si>
    <t xml:space="preserve">ADAMA Ltd</t>
  </si>
  <si>
    <t xml:space="preserve">Corteva Agriscience</t>
  </si>
  <si>
    <t xml:space="preserve">Mitsui Chemicals Agro</t>
  </si>
  <si>
    <t xml:space="preserve">Kumiai Chemical Industry</t>
  </si>
  <si>
    <t xml:space="preserve">Nufarm Limited</t>
  </si>
  <si>
    <t xml:space="preserve">Rotam Agrochemical Co.</t>
  </si>
  <si>
    <t xml:space="preserve">Other USD Customers</t>
  </si>
  <si>
    <t xml:space="preserve">TOTAL USD RECEIVABLES</t>
  </si>
  <si>
    <t xml:space="preserve">SECTION B: EUR RECEIVABLES FORECAST (in EUR)</t>
  </si>
  <si>
    <t xml:space="preserve">BASF SE</t>
  </si>
  <si>
    <t xml:space="preserve">Bayer CropScience AG</t>
  </si>
  <si>
    <t xml:space="preserve">Arysta LifeScience (France)</t>
  </si>
  <si>
    <t xml:space="preserve">Other EUR Customers</t>
  </si>
  <si>
    <t xml:space="preserve">TOTAL EUR RECEIVABLES</t>
  </si>
  <si>
    <t xml:space="preserve">FORECAST CONFIDENCE LEVELS</t>
  </si>
  <si>
    <t xml:space="preserve">Month</t>
  </si>
  <si>
    <t xml:space="preserve">USD Confidence %</t>
  </si>
  <si>
    <t xml:space="preserve">EUR Confidence %</t>
  </si>
  <si>
    <t xml:space="preserve">Basis</t>
  </si>
  <si>
    <t xml:space="preserve">Confirmed orders + shipped</t>
  </si>
  <si>
    <t xml:space="preserve">Confirmed orders</t>
  </si>
  <si>
    <t xml:space="preserve">Confirmed + high-probability pipeline</t>
  </si>
  <si>
    <t xml:space="preserve">Mix of confirmed and pipeline</t>
  </si>
  <si>
    <t xml:space="preserve">Pipeline weighted estimate</t>
  </si>
  <si>
    <t xml:space="preserve">Pipeline estimate</t>
  </si>
  <si>
    <t xml:space="preserve">Trend-based forecast</t>
  </si>
  <si>
    <t xml:space="preserve">Annual plan projection</t>
  </si>
  <si>
    <t xml:space="preserve">Preliminary estimate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</si>
</sst>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6A4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2D6A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6A4F"/>
        <bgColor rgb="FF666666"/>
      </patternFill>
    </fill>
    <fill>
      <patternFill patternType="solid">
        <fgColor rgb="FFE8F5E9"/>
        <bgColor rgb="FFD5F5E3"/>
      </patternFill>
    </fill>
    <fill>
      <patternFill patternType="solid">
        <fgColor rgb="FFD5F5E3"/>
        <bgColor rgb="FFE8F5E9"/>
      </patternFill>
    </fill>
    <fill>
      <patternFill patternType="solid">
        <fgColor rgb="FFFFF3CC"/>
        <bgColor rgb="FFFFE8CC"/>
      </patternFill>
    </fill>
    <fill>
      <patternFill patternType="solid">
        <fgColor rgb="FFFFE8CC"/>
        <bgColor rgb="FFFFF3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E8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4"/>
    <col collapsed="false" customWidth="true" hidden="false" outlineLevel="0" max="14" min="14" style="0" width="16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customFormat="false" ht="15" hidden="false" customHeight="false" outlineLevel="0" collapsed="false">
      <c r="A5" s="5" t="s">
        <v>18</v>
      </c>
      <c r="B5" s="6" t="n">
        <v>850000</v>
      </c>
      <c r="C5" s="6" t="n">
        <v>920000</v>
      </c>
      <c r="D5" s="6" t="n">
        <v>780000</v>
      </c>
      <c r="E5" s="6" t="n">
        <v>1100000</v>
      </c>
      <c r="F5" s="6" t="n">
        <v>950000</v>
      </c>
      <c r="G5" s="6" t="n">
        <v>880000</v>
      </c>
      <c r="H5" s="6" t="n">
        <v>1200000</v>
      </c>
      <c r="I5" s="6" t="n">
        <v>1050000</v>
      </c>
      <c r="J5" s="6" t="n">
        <v>900000</v>
      </c>
      <c r="K5" s="6" t="n">
        <v>1150000</v>
      </c>
      <c r="L5" s="6" t="n">
        <v>980000</v>
      </c>
      <c r="M5" s="6" t="n">
        <v>870000</v>
      </c>
      <c r="N5" s="7" t="n">
        <v>11630000</v>
      </c>
    </row>
    <row r="6" customFormat="false" ht="15" hidden="false" customHeight="false" outlineLevel="0" collapsed="false">
      <c r="A6" s="5" t="s">
        <v>19</v>
      </c>
      <c r="B6" s="6" t="n">
        <v>620000</v>
      </c>
      <c r="C6" s="6" t="n">
        <v>580000</v>
      </c>
      <c r="D6" s="6" t="n">
        <v>650000</v>
      </c>
      <c r="E6" s="6" t="n">
        <v>700000</v>
      </c>
      <c r="F6" s="6" t="n">
        <v>680000</v>
      </c>
      <c r="G6" s="6" t="n">
        <v>720000</v>
      </c>
      <c r="H6" s="6" t="n">
        <v>750000</v>
      </c>
      <c r="I6" s="6" t="n">
        <v>690000</v>
      </c>
      <c r="J6" s="6" t="n">
        <v>640000</v>
      </c>
      <c r="K6" s="6" t="n">
        <v>710000</v>
      </c>
      <c r="L6" s="6" t="n">
        <v>730000</v>
      </c>
      <c r="M6" s="6" t="n">
        <v>660000</v>
      </c>
      <c r="N6" s="7" t="n">
        <v>8130000</v>
      </c>
    </row>
    <row r="7" customFormat="false" ht="15" hidden="false" customHeight="false" outlineLevel="0" collapsed="false">
      <c r="A7" s="5" t="s">
        <v>20</v>
      </c>
      <c r="B7" s="6" t="n">
        <v>450000</v>
      </c>
      <c r="C7" s="6" t="n">
        <v>520000</v>
      </c>
      <c r="D7" s="6" t="n">
        <v>480000</v>
      </c>
      <c r="E7" s="6" t="n">
        <v>550000</v>
      </c>
      <c r="F7" s="6" t="n">
        <v>500000</v>
      </c>
      <c r="G7" s="6" t="n">
        <v>470000</v>
      </c>
      <c r="H7" s="6" t="n">
        <v>580000</v>
      </c>
      <c r="I7" s="6" t="n">
        <v>530000</v>
      </c>
      <c r="J7" s="6" t="n">
        <v>490000</v>
      </c>
      <c r="K7" s="6" t="n">
        <v>560000</v>
      </c>
      <c r="L7" s="6" t="n">
        <v>510000</v>
      </c>
      <c r="M7" s="6" t="n">
        <v>440000</v>
      </c>
      <c r="N7" s="7" t="n">
        <v>6080000</v>
      </c>
    </row>
    <row r="8" customFormat="false" ht="15" hidden="false" customHeight="false" outlineLevel="0" collapsed="false">
      <c r="A8" s="5" t="s">
        <v>21</v>
      </c>
      <c r="B8" s="6" t="n">
        <v>380000</v>
      </c>
      <c r="C8" s="6" t="n">
        <v>420000</v>
      </c>
      <c r="D8" s="6" t="n">
        <v>350000</v>
      </c>
      <c r="E8" s="6" t="n">
        <v>460000</v>
      </c>
      <c r="F8" s="6" t="n">
        <v>400000</v>
      </c>
      <c r="G8" s="6" t="n">
        <v>390000</v>
      </c>
      <c r="H8" s="6" t="n">
        <v>480000</v>
      </c>
      <c r="I8" s="6" t="n">
        <v>430000</v>
      </c>
      <c r="J8" s="6" t="n">
        <v>370000</v>
      </c>
      <c r="K8" s="6" t="n">
        <v>450000</v>
      </c>
      <c r="L8" s="6" t="n">
        <v>410000</v>
      </c>
      <c r="M8" s="6" t="n">
        <v>360000</v>
      </c>
      <c r="N8" s="7" t="n">
        <v>4900000</v>
      </c>
    </row>
    <row r="9" customFormat="false" ht="15" hidden="false" customHeight="false" outlineLevel="0" collapsed="false">
      <c r="A9" s="5" t="s">
        <v>22</v>
      </c>
      <c r="B9" s="6" t="n">
        <v>290000</v>
      </c>
      <c r="C9" s="6" t="n">
        <v>310000</v>
      </c>
      <c r="D9" s="6" t="n">
        <v>270000</v>
      </c>
      <c r="E9" s="6" t="n">
        <v>340000</v>
      </c>
      <c r="F9" s="6" t="n">
        <v>300000</v>
      </c>
      <c r="G9" s="6" t="n">
        <v>280000</v>
      </c>
      <c r="H9" s="6" t="n">
        <v>350000</v>
      </c>
      <c r="I9" s="6" t="n">
        <v>320000</v>
      </c>
      <c r="J9" s="6" t="n">
        <v>280000</v>
      </c>
      <c r="K9" s="6" t="n">
        <v>330000</v>
      </c>
      <c r="L9" s="6" t="n">
        <v>310000</v>
      </c>
      <c r="M9" s="6" t="n">
        <v>260000</v>
      </c>
      <c r="N9" s="7" t="n">
        <v>3640000</v>
      </c>
    </row>
    <row r="10" customFormat="false" ht="15" hidden="false" customHeight="false" outlineLevel="0" collapsed="false">
      <c r="A10" s="5" t="s">
        <v>23</v>
      </c>
      <c r="B10" s="6" t="n">
        <v>520000</v>
      </c>
      <c r="C10" s="6" t="n">
        <v>480000</v>
      </c>
      <c r="D10" s="6" t="n">
        <v>550000</v>
      </c>
      <c r="E10" s="6" t="n">
        <v>600000</v>
      </c>
      <c r="F10" s="6" t="n">
        <v>570000</v>
      </c>
      <c r="G10" s="6" t="n">
        <v>530000</v>
      </c>
      <c r="H10" s="6" t="n">
        <v>620000</v>
      </c>
      <c r="I10" s="6" t="n">
        <v>580000</v>
      </c>
      <c r="J10" s="6" t="n">
        <v>540000</v>
      </c>
      <c r="K10" s="6" t="n">
        <v>610000</v>
      </c>
      <c r="L10" s="6" t="n">
        <v>560000</v>
      </c>
      <c r="M10" s="6" t="n">
        <v>500000</v>
      </c>
      <c r="N10" s="7" t="n">
        <v>6660000</v>
      </c>
    </row>
    <row r="11" customFormat="false" ht="15" hidden="false" customHeight="false" outlineLevel="0" collapsed="false">
      <c r="A11" s="5" t="s">
        <v>24</v>
      </c>
      <c r="B11" s="6" t="n">
        <v>210000</v>
      </c>
      <c r="C11" s="6" t="n">
        <v>240000</v>
      </c>
      <c r="D11" s="6" t="n">
        <v>200000</v>
      </c>
      <c r="E11" s="6" t="n">
        <v>260000</v>
      </c>
      <c r="F11" s="6" t="n">
        <v>230000</v>
      </c>
      <c r="G11" s="6" t="n">
        <v>220000</v>
      </c>
      <c r="H11" s="6" t="n">
        <v>270000</v>
      </c>
      <c r="I11" s="6" t="n">
        <v>250000</v>
      </c>
      <c r="J11" s="6" t="n">
        <v>210000</v>
      </c>
      <c r="K11" s="6" t="n">
        <v>255000</v>
      </c>
      <c r="L11" s="6" t="n">
        <v>235000</v>
      </c>
      <c r="M11" s="6" t="n">
        <v>195000</v>
      </c>
      <c r="N11" s="7" t="n">
        <v>2775000</v>
      </c>
    </row>
    <row r="12" customFormat="false" ht="15" hidden="false" customHeight="false" outlineLevel="0" collapsed="false">
      <c r="A12" s="5" t="s">
        <v>25</v>
      </c>
      <c r="B12" s="6" t="n">
        <v>180000</v>
      </c>
      <c r="C12" s="6" t="n">
        <v>200000</v>
      </c>
      <c r="D12" s="6" t="n">
        <v>170000</v>
      </c>
      <c r="E12" s="6" t="n">
        <v>220000</v>
      </c>
      <c r="F12" s="6" t="n">
        <v>190000</v>
      </c>
      <c r="G12" s="6" t="n">
        <v>185000</v>
      </c>
      <c r="H12" s="6" t="n">
        <v>230000</v>
      </c>
      <c r="I12" s="6" t="n">
        <v>210000</v>
      </c>
      <c r="J12" s="6" t="n">
        <v>175000</v>
      </c>
      <c r="K12" s="6" t="n">
        <v>215000</v>
      </c>
      <c r="L12" s="6" t="n">
        <v>195000</v>
      </c>
      <c r="M12" s="6" t="n">
        <v>165000</v>
      </c>
      <c r="N12" s="7" t="n">
        <v>2335000</v>
      </c>
    </row>
    <row r="13" customFormat="false" ht="15" hidden="false" customHeight="false" outlineLevel="0" collapsed="false">
      <c r="A13" s="5" t="s">
        <v>26</v>
      </c>
      <c r="B13" s="6" t="n">
        <v>320000</v>
      </c>
      <c r="C13" s="6" t="n">
        <v>350000</v>
      </c>
      <c r="D13" s="6" t="n">
        <v>300000</v>
      </c>
      <c r="E13" s="6" t="n">
        <v>380000</v>
      </c>
      <c r="F13" s="6" t="n">
        <v>340000</v>
      </c>
      <c r="G13" s="6" t="n">
        <v>330000</v>
      </c>
      <c r="H13" s="6" t="n">
        <v>400000</v>
      </c>
      <c r="I13" s="6" t="n">
        <v>360000</v>
      </c>
      <c r="J13" s="6" t="n">
        <v>310000</v>
      </c>
      <c r="K13" s="6" t="n">
        <v>370000</v>
      </c>
      <c r="L13" s="6" t="n">
        <v>345000</v>
      </c>
      <c r="M13" s="6" t="n">
        <v>290000</v>
      </c>
      <c r="N13" s="7" t="n">
        <v>4095000</v>
      </c>
    </row>
    <row r="14" customFormat="false" ht="15" hidden="false" customHeight="false" outlineLevel="0" collapsed="false">
      <c r="A14" s="5" t="s">
        <v>27</v>
      </c>
      <c r="B14" s="6" t="n">
        <v>150000</v>
      </c>
      <c r="C14" s="6" t="n">
        <v>170000</v>
      </c>
      <c r="D14" s="6" t="n">
        <v>140000</v>
      </c>
      <c r="E14" s="6" t="n">
        <v>190000</v>
      </c>
      <c r="F14" s="6" t="n">
        <v>160000</v>
      </c>
      <c r="G14" s="6" t="n">
        <v>155000</v>
      </c>
      <c r="H14" s="6" t="n">
        <v>200000</v>
      </c>
      <c r="I14" s="6" t="n">
        <v>180000</v>
      </c>
      <c r="J14" s="6" t="n">
        <v>145000</v>
      </c>
      <c r="K14" s="6" t="n">
        <v>185000</v>
      </c>
      <c r="L14" s="6" t="n">
        <v>165000</v>
      </c>
      <c r="M14" s="6" t="n">
        <v>135000</v>
      </c>
      <c r="N14" s="7" t="n">
        <v>1975000</v>
      </c>
    </row>
    <row r="15" customFormat="false" ht="15" hidden="false" customHeight="false" outlineLevel="0" collapsed="false">
      <c r="A15" s="5" t="s">
        <v>28</v>
      </c>
      <c r="B15" s="6" t="n">
        <v>400000</v>
      </c>
      <c r="C15" s="6" t="n">
        <v>430000</v>
      </c>
      <c r="D15" s="6" t="n">
        <v>380000</v>
      </c>
      <c r="E15" s="6" t="n">
        <v>470000</v>
      </c>
      <c r="F15" s="6" t="n">
        <v>420000</v>
      </c>
      <c r="G15" s="6" t="n">
        <v>410000</v>
      </c>
      <c r="H15" s="6" t="n">
        <v>490000</v>
      </c>
      <c r="I15" s="6" t="n">
        <v>450000</v>
      </c>
      <c r="J15" s="6" t="n">
        <v>390000</v>
      </c>
      <c r="K15" s="6" t="n">
        <v>460000</v>
      </c>
      <c r="L15" s="6" t="n">
        <v>425000</v>
      </c>
      <c r="M15" s="6" t="n">
        <v>370000</v>
      </c>
      <c r="N15" s="7" t="n">
        <v>5095000</v>
      </c>
    </row>
    <row r="16" customFormat="false" ht="15" hidden="false" customHeight="false" outlineLevel="0" collapsed="false">
      <c r="A16" s="8" t="s">
        <v>29</v>
      </c>
      <c r="B16" s="9" t="n">
        <f aca="false">SUM(B5:B15)</f>
        <v>4370000</v>
      </c>
      <c r="C16" s="9" t="n">
        <f aca="false">SUM(C5:C15)</f>
        <v>4620000</v>
      </c>
      <c r="D16" s="9" t="n">
        <f aca="false">SUM(D5:D15)</f>
        <v>4270000</v>
      </c>
      <c r="E16" s="9" t="n">
        <f aca="false">SUM(E5:E15)</f>
        <v>5270000</v>
      </c>
      <c r="F16" s="9" t="n">
        <f aca="false">SUM(F5:F15)</f>
        <v>4740000</v>
      </c>
      <c r="G16" s="9" t="n">
        <f aca="false">SUM(G5:G15)</f>
        <v>4570000</v>
      </c>
      <c r="H16" s="9" t="n">
        <f aca="false">SUM(H5:H15)</f>
        <v>5570000</v>
      </c>
      <c r="I16" s="9" t="n">
        <f aca="false">SUM(I5:I15)</f>
        <v>5050000</v>
      </c>
      <c r="J16" s="9" t="n">
        <f aca="false">SUM(J5:J15)</f>
        <v>4450000</v>
      </c>
      <c r="K16" s="9" t="n">
        <f aca="false">SUM(K5:K15)</f>
        <v>5295000</v>
      </c>
      <c r="L16" s="9" t="n">
        <f aca="false">SUM(L5:L15)</f>
        <v>4865000</v>
      </c>
      <c r="M16" s="9" t="n">
        <f aca="false">SUM(M5:M15)</f>
        <v>4245000</v>
      </c>
      <c r="N16" s="9" t="n">
        <f aca="false">SUM(N5:N15)</f>
        <v>57315000</v>
      </c>
      <c r="O16" s="9" t="n">
        <f aca="false">SUM(O5:O15)</f>
        <v>0</v>
      </c>
    </row>
    <row r="18" customFormat="false" ht="15" hidden="false" customHeight="false" outlineLevel="0" collapsed="false">
      <c r="A18" s="3" t="s">
        <v>30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</row>
    <row r="20" customFormat="false" ht="15" hidden="false" customHeight="false" outlineLevel="0" collapsed="false">
      <c r="A20" s="5" t="s">
        <v>31</v>
      </c>
      <c r="B20" s="6" t="n">
        <v>420000</v>
      </c>
      <c r="C20" s="6" t="n">
        <v>460000</v>
      </c>
      <c r="D20" s="6" t="n">
        <v>390000</v>
      </c>
      <c r="E20" s="6" t="n">
        <v>510000</v>
      </c>
      <c r="F20" s="6" t="n">
        <v>450000</v>
      </c>
      <c r="G20" s="6" t="n">
        <v>430000</v>
      </c>
      <c r="H20" s="6" t="n">
        <v>540000</v>
      </c>
      <c r="I20" s="6" t="n">
        <v>480000</v>
      </c>
      <c r="J20" s="6" t="n">
        <v>400000</v>
      </c>
      <c r="K20" s="6" t="n">
        <v>500000</v>
      </c>
      <c r="L20" s="6" t="n">
        <v>460000</v>
      </c>
      <c r="M20" s="6" t="n">
        <v>380000</v>
      </c>
      <c r="N20" s="7" t="n">
        <v>5420000</v>
      </c>
    </row>
    <row r="21" customFormat="false" ht="15" hidden="false" customHeight="false" outlineLevel="0" collapsed="false">
      <c r="A21" s="5" t="s">
        <v>32</v>
      </c>
      <c r="B21" s="6" t="n">
        <v>350000</v>
      </c>
      <c r="C21" s="6" t="n">
        <v>380000</v>
      </c>
      <c r="D21" s="6" t="n">
        <v>320000</v>
      </c>
      <c r="E21" s="6" t="n">
        <v>420000</v>
      </c>
      <c r="F21" s="6" t="n">
        <v>370000</v>
      </c>
      <c r="G21" s="6" t="n">
        <v>360000</v>
      </c>
      <c r="H21" s="6" t="n">
        <v>440000</v>
      </c>
      <c r="I21" s="6" t="n">
        <v>400000</v>
      </c>
      <c r="J21" s="6" t="n">
        <v>330000</v>
      </c>
      <c r="K21" s="6" t="n">
        <v>410000</v>
      </c>
      <c r="L21" s="6" t="n">
        <v>375000</v>
      </c>
      <c r="M21" s="6" t="n">
        <v>310000</v>
      </c>
      <c r="N21" s="7" t="n">
        <v>4465000</v>
      </c>
    </row>
    <row r="22" customFormat="false" ht="15" hidden="false" customHeight="false" outlineLevel="0" collapsed="false">
      <c r="A22" s="5" t="s">
        <v>33</v>
      </c>
      <c r="B22" s="6" t="n">
        <v>180000</v>
      </c>
      <c r="C22" s="6" t="n">
        <v>200000</v>
      </c>
      <c r="D22" s="6" t="n">
        <v>165000</v>
      </c>
      <c r="E22" s="6" t="n">
        <v>220000</v>
      </c>
      <c r="F22" s="6" t="n">
        <v>195000</v>
      </c>
      <c r="G22" s="6" t="n">
        <v>185000</v>
      </c>
      <c r="H22" s="6" t="n">
        <v>230000</v>
      </c>
      <c r="I22" s="6" t="n">
        <v>210000</v>
      </c>
      <c r="J22" s="6" t="n">
        <v>170000</v>
      </c>
      <c r="K22" s="6" t="n">
        <v>215000</v>
      </c>
      <c r="L22" s="6" t="n">
        <v>198000</v>
      </c>
      <c r="M22" s="6" t="n">
        <v>160000</v>
      </c>
      <c r="N22" s="7" t="n">
        <v>2328000</v>
      </c>
    </row>
    <row r="23" customFormat="false" ht="15" hidden="false" customHeight="false" outlineLevel="0" collapsed="false">
      <c r="A23" s="5" t="s">
        <v>34</v>
      </c>
      <c r="B23" s="6" t="n">
        <v>120000</v>
      </c>
      <c r="C23" s="6" t="n">
        <v>140000</v>
      </c>
      <c r="D23" s="6" t="n">
        <v>110000</v>
      </c>
      <c r="E23" s="6" t="n">
        <v>160000</v>
      </c>
      <c r="F23" s="6" t="n">
        <v>130000</v>
      </c>
      <c r="G23" s="6" t="n">
        <v>125000</v>
      </c>
      <c r="H23" s="6" t="n">
        <v>170000</v>
      </c>
      <c r="I23" s="6" t="n">
        <v>150000</v>
      </c>
      <c r="J23" s="6" t="n">
        <v>115000</v>
      </c>
      <c r="K23" s="6" t="n">
        <v>155000</v>
      </c>
      <c r="L23" s="6" t="n">
        <v>135000</v>
      </c>
      <c r="M23" s="6" t="n">
        <v>105000</v>
      </c>
      <c r="N23" s="7" t="n">
        <v>1615000</v>
      </c>
    </row>
    <row r="24" customFormat="false" ht="15" hidden="false" customHeight="false" outlineLevel="0" collapsed="false">
      <c r="A24" s="8" t="s">
        <v>35</v>
      </c>
      <c r="B24" s="9" t="n">
        <f aca="false">SUM(B20:B23)</f>
        <v>1070000</v>
      </c>
      <c r="C24" s="9" t="n">
        <f aca="false">SUM(C20:C23)</f>
        <v>1180000</v>
      </c>
      <c r="D24" s="9" t="n">
        <f aca="false">SUM(D20:D23)</f>
        <v>985000</v>
      </c>
      <c r="E24" s="9" t="n">
        <f aca="false">SUM(E20:E23)</f>
        <v>1310000</v>
      </c>
      <c r="F24" s="9" t="n">
        <f aca="false">SUM(F20:F23)</f>
        <v>1145000</v>
      </c>
      <c r="G24" s="9" t="n">
        <f aca="false">SUM(G20:G23)</f>
        <v>1100000</v>
      </c>
      <c r="H24" s="9" t="n">
        <f aca="false">SUM(H20:H23)</f>
        <v>1380000</v>
      </c>
      <c r="I24" s="9" t="n">
        <f aca="false">SUM(I20:I23)</f>
        <v>1240000</v>
      </c>
      <c r="J24" s="9" t="n">
        <f aca="false">SUM(J20:J23)</f>
        <v>1015000</v>
      </c>
      <c r="K24" s="9" t="n">
        <f aca="false">SUM(K20:K23)</f>
        <v>1280000</v>
      </c>
      <c r="L24" s="9" t="n">
        <f aca="false">SUM(L20:L23)</f>
        <v>1168000</v>
      </c>
      <c r="M24" s="9" t="n">
        <f aca="false">SUM(M20:M23)</f>
        <v>955000</v>
      </c>
      <c r="N24" s="9" t="n">
        <f aca="false">SUM(N20:N23)</f>
        <v>13828000</v>
      </c>
      <c r="O24" s="9" t="n">
        <f aca="false">SUM(O20:O23)</f>
        <v>0</v>
      </c>
    </row>
  </sheetData>
  <mergeCells count="4">
    <mergeCell ref="A1:O1"/>
    <mergeCell ref="A2:O2"/>
    <mergeCell ref="A3:O3"/>
    <mergeCell ref="A18:O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</row>
    <row r="3" customFormat="false" ht="26.85" hidden="false" customHeight="false" outlineLevel="0" collapsed="false">
      <c r="A3" s="4" t="s">
        <v>37</v>
      </c>
      <c r="B3" s="4" t="s">
        <v>38</v>
      </c>
      <c r="C3" s="4" t="s">
        <v>39</v>
      </c>
      <c r="D3" s="4" t="s">
        <v>40</v>
      </c>
    </row>
    <row r="4" customFormat="false" ht="15" hidden="false" customHeight="false" outlineLevel="0" collapsed="false">
      <c r="A4" s="10" t="s">
        <v>4</v>
      </c>
      <c r="B4" s="11" t="n">
        <v>0.95</v>
      </c>
      <c r="C4" s="11" t="n">
        <v>0.95</v>
      </c>
      <c r="D4" s="5" t="s">
        <v>41</v>
      </c>
    </row>
    <row r="5" customFormat="false" ht="15" hidden="false" customHeight="false" outlineLevel="0" collapsed="false">
      <c r="A5" s="10" t="s">
        <v>5</v>
      </c>
      <c r="B5" s="11" t="n">
        <v>0.9</v>
      </c>
      <c r="C5" s="11" t="n">
        <v>0.9</v>
      </c>
      <c r="D5" s="5" t="s">
        <v>42</v>
      </c>
    </row>
    <row r="6" customFormat="false" ht="15" hidden="false" customHeight="false" outlineLevel="0" collapsed="false">
      <c r="A6" s="10" t="s">
        <v>6</v>
      </c>
      <c r="B6" s="11" t="n">
        <v>0.85</v>
      </c>
      <c r="C6" s="11" t="n">
        <v>0.85</v>
      </c>
      <c r="D6" s="5" t="s">
        <v>43</v>
      </c>
    </row>
    <row r="7" customFormat="false" ht="15" hidden="false" customHeight="false" outlineLevel="0" collapsed="false">
      <c r="A7" s="10" t="s">
        <v>7</v>
      </c>
      <c r="B7" s="11" t="n">
        <v>0.8</v>
      </c>
      <c r="C7" s="12" t="n">
        <v>0.78</v>
      </c>
      <c r="D7" s="5" t="s">
        <v>44</v>
      </c>
    </row>
    <row r="8" customFormat="false" ht="15" hidden="false" customHeight="false" outlineLevel="0" collapsed="false">
      <c r="A8" s="10" t="s">
        <v>8</v>
      </c>
      <c r="B8" s="12" t="n">
        <v>0.75</v>
      </c>
      <c r="C8" s="12" t="n">
        <v>0.72</v>
      </c>
      <c r="D8" s="5" t="s">
        <v>45</v>
      </c>
    </row>
    <row r="9" customFormat="false" ht="15" hidden="false" customHeight="false" outlineLevel="0" collapsed="false">
      <c r="A9" s="10" t="s">
        <v>9</v>
      </c>
      <c r="B9" s="12" t="n">
        <v>0.7</v>
      </c>
      <c r="C9" s="12" t="n">
        <v>0.68</v>
      </c>
      <c r="D9" s="5" t="s">
        <v>46</v>
      </c>
    </row>
    <row r="10" customFormat="false" ht="15" hidden="false" customHeight="false" outlineLevel="0" collapsed="false">
      <c r="A10" s="10" t="s">
        <v>10</v>
      </c>
      <c r="B10" s="12" t="n">
        <v>0.65</v>
      </c>
      <c r="C10" s="12" t="n">
        <v>0.62</v>
      </c>
      <c r="D10" s="5" t="s">
        <v>47</v>
      </c>
    </row>
    <row r="11" customFormat="false" ht="15" hidden="false" customHeight="false" outlineLevel="0" collapsed="false">
      <c r="A11" s="10" t="s">
        <v>11</v>
      </c>
      <c r="B11" s="12" t="n">
        <v>0.6</v>
      </c>
      <c r="C11" s="13" t="n">
        <v>0.58</v>
      </c>
      <c r="D11" s="5" t="s">
        <v>47</v>
      </c>
    </row>
    <row r="12" customFormat="false" ht="15" hidden="false" customHeight="false" outlineLevel="0" collapsed="false">
      <c r="A12" s="10" t="s">
        <v>12</v>
      </c>
      <c r="B12" s="13" t="n">
        <v>0.55</v>
      </c>
      <c r="C12" s="13" t="n">
        <v>0.52</v>
      </c>
      <c r="D12" s="5" t="s">
        <v>48</v>
      </c>
    </row>
    <row r="13" customFormat="false" ht="15" hidden="false" customHeight="false" outlineLevel="0" collapsed="false">
      <c r="A13" s="10" t="s">
        <v>13</v>
      </c>
      <c r="B13" s="13" t="n">
        <v>0.5</v>
      </c>
      <c r="C13" s="13" t="n">
        <v>0.48</v>
      </c>
      <c r="D13" s="5" t="s">
        <v>48</v>
      </c>
    </row>
    <row r="14" customFormat="false" ht="15" hidden="false" customHeight="false" outlineLevel="0" collapsed="false">
      <c r="A14" s="10" t="s">
        <v>14</v>
      </c>
      <c r="B14" s="13" t="n">
        <v>0.45</v>
      </c>
      <c r="C14" s="13" t="n">
        <v>0.42</v>
      </c>
      <c r="D14" s="5" t="s">
        <v>49</v>
      </c>
    </row>
    <row r="15" customFormat="false" ht="15" hidden="false" customHeight="false" outlineLevel="0" collapsed="false">
      <c r="A15" s="10" t="s">
        <v>15</v>
      </c>
      <c r="B15" s="13" t="n">
        <v>0.4</v>
      </c>
      <c r="C15" s="13" t="n">
        <v>0.38</v>
      </c>
      <c r="D15" s="5" t="s">
        <v>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2026-04-14T06:57:41Z</dcterms:created>
  <dc:creator>openpyxl</dc:creator>
  <dc:description/>
  <dc:language>en-US</dc:language>
  <cp:lastModifiedBy/>
  <dcterms:modified xsi:type="dcterms:W3CDTF">2026-04-14T06:57:41Z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