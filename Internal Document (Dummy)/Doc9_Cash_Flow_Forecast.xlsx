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D Cash Flow" sheetId="1" state="visible" r:id="rId3"/>
    <sheet name="EUR Cash Flow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<sst xmlns="http://schemas.openxmlformats.org/spreadsheetml/2006/main" count="62" uniqueCount="46">
  <si>
    <t xml:space="preserve">PI INDUSTRIES LIMITED — Monthly Cash Flow Forecast (Foreign Currency)</t>
  </si>
  <si>
    <t xml:space="preserve">Period: Apr-2026 to Mar-2027 | Prepared by: Treasury | Date: 14-Apr-2026 | CONFIDENTIAL</t>
  </si>
  <si>
    <t xml:space="preserve">SECTION A: USD CASH FLOWS (in USD thousands)</t>
  </si>
  <si>
    <t xml:space="preserve">Category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</si>
  <si>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</si>
  <si>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</si>
  <si>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</si>
  <si>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</si>
  <si>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</si>
  <si>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</si>
  <si>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</si>
  <si>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</si>
  <si>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</si>
  <si>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</si>
  <si>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</si>
  <si>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</si>
  <si>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FY27 Total</t>
  </si>
  <si>
    <t xml:space="preserve">INFLOWS</t>
  </si>
  <si>
    <t xml:space="preserve">Export Receivables — CRAMS/CSM</t>
  </si>
  <si>
    <t xml:space="preserve">Export Receivables — Branded Products</t>
  </si>
  <si>
    <t xml:space="preserve">Export Receivables — Generic Products</t>
  </si>
  <si>
    <t xml:space="preserve">Advance Payments from Customers</t>
  </si>
  <si>
    <t xml:space="preserve">TOTAL USD INFLOWS</t>
  </si>
  <si>
    <t xml:space="preserve">OUTFLOWS</t>
  </si>
  <si>
    <t xml:space="preserve">Import of Raw Materials (APIs/Technicals)</t>
  </si>
  <si>
    <t xml:space="preserve">Import of Capital Equipment</t>
  </si>
  <si>
    <t xml:space="preserve">Royalty Payments (Technology Partners)</t>
  </si>
  <si>
    <t xml:space="preserve">Foreign Consultancy / Professional Fees</t>
  </si>
  <si>
    <t xml:space="preserve">ECB Loan Repayment (Principal)</t>
  </si>
  <si>
    <t xml:space="preserve">ECB Interest Payment</t>
  </si>
  <si>
    <t xml:space="preserve">Travel &amp; Employee Expenses (Foreign)</t>
  </si>
  <si>
    <t xml:space="preserve">TOTAL USD OUTFLOWS</t>
  </si>
  <si>
    <t xml:space="preserve">NET USD CASH FLOW</t>
  </si>
  <si>
    <t xml:space="preserve">PI INDUSTRIES LIMITED — EUR Cash Flow Forecast</t>
  </si>
  <si>
    <t xml:space="preserve">Period: Apr-2026 to Mar-2027 | CONFIDENTIAL</t>
  </si>
  <si>
    <t xml:space="preserve">SECTION B: EUR CASH FLOWS (in EUR thousands)</t>
  </si>
  <si>
    <t xml:space="preserve">Export Receivables — BASF</t>
  </si>
  <si>
    <t xml:space="preserve">Export Receivables — Bayer</t>
  </si>
  <si>
    <t xml:space="preserve">Export Receivables — Arysta</t>
  </si>
  <si>
    <t xml:space="preserve">Export Receivables — Others</t>
  </si>
  <si>
    <t xml:space="preserve">TOTAL EUR INFLOWS</t>
  </si>
  <si>
    <t xml:space="preserve">Import of Specialty Chemicals (Europe)</t>
  </si>
  <si>
    <t xml:space="preserve">Technology License Fees</t>
  </si>
  <si>
    <t xml:space="preserve">European Office Expenses</t>
  </si>
  <si>
    <t xml:space="preserve">TOTAL EUR OUTFLOWS</t>
  </si>
  <si>
    <t xml:space="preserve">NET EUR CASH FLOW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</si>
</sst>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D47A1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2"/>
      <color rgb="FF0D47A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D47A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6600"/>
      <name val="Arial"/>
      <family val="0"/>
      <charset val="1"/>
    </font>
    <font>
      <b val="true"/>
      <sz val="10"/>
      <color rgb="FF0066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47A1"/>
        <bgColor rgb="FF333399"/>
      </patternFill>
    </fill>
    <fill>
      <patternFill patternType="solid">
        <fgColor rgb="FFE3F2FD"/>
        <bgColor rgb="FFCCFFFF"/>
      </patternFill>
    </fill>
    <fill>
      <patternFill patternType="solid">
        <fgColor rgb="FFC8E6C9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3F2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D47A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13" min="2" style="0" width="13"/>
    <col collapsed="false" customWidth="true" hidden="false" outlineLevel="0" max="14" min="14" style="0" width="1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customFormat="false" ht="15" hidden="false" customHeight="false" outlineLevel="0" collapsed="false">
      <c r="A5" s="5" t="s">
        <v>17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customFormat="false" ht="15" hidden="false" customHeight="false" outlineLevel="0" collapsed="false">
      <c r="A6" s="7" t="s">
        <v>18</v>
      </c>
      <c r="B6" s="8" t="n">
        <v>3200</v>
      </c>
      <c r="C6" s="8" t="n">
        <v>3500</v>
      </c>
      <c r="D6" s="8" t="n">
        <v>3100</v>
      </c>
      <c r="E6" s="8" t="n">
        <v>3800</v>
      </c>
      <c r="F6" s="8" t="n">
        <v>3400</v>
      </c>
      <c r="G6" s="8" t="n">
        <v>3300</v>
      </c>
      <c r="H6" s="8" t="n">
        <v>4000</v>
      </c>
      <c r="I6" s="8" t="n">
        <v>3600</v>
      </c>
      <c r="J6" s="8" t="n">
        <v>3200</v>
      </c>
      <c r="K6" s="8" t="n">
        <v>3700</v>
      </c>
      <c r="L6" s="8" t="n">
        <v>3500</v>
      </c>
      <c r="M6" s="8" t="n">
        <v>3000</v>
      </c>
      <c r="N6" s="9" t="n">
        <f aca="false">SUM(B6:M6)</f>
        <v>41300</v>
      </c>
    </row>
    <row r="7" customFormat="false" ht="15" hidden="false" customHeight="false" outlineLevel="0" collapsed="false">
      <c r="A7" s="7" t="s">
        <v>19</v>
      </c>
      <c r="B7" s="8" t="n">
        <v>850</v>
      </c>
      <c r="C7" s="8" t="n">
        <v>920</v>
      </c>
      <c r="D7" s="8" t="n">
        <v>780</v>
      </c>
      <c r="E7" s="8" t="n">
        <v>1050</v>
      </c>
      <c r="F7" s="8" t="n">
        <v>950</v>
      </c>
      <c r="G7" s="8" t="n">
        <v>880</v>
      </c>
      <c r="H7" s="8" t="n">
        <v>1100</v>
      </c>
      <c r="I7" s="8" t="n">
        <v>1000</v>
      </c>
      <c r="J7" s="8" t="n">
        <v>850</v>
      </c>
      <c r="K7" s="8" t="n">
        <v>1050</v>
      </c>
      <c r="L7" s="8" t="n">
        <v>950</v>
      </c>
      <c r="M7" s="8" t="n">
        <v>800</v>
      </c>
      <c r="N7" s="9" t="n">
        <f aca="false">SUM(B7:M7)</f>
        <v>11180</v>
      </c>
    </row>
    <row r="8" customFormat="false" ht="15" hidden="false" customHeight="false" outlineLevel="0" collapsed="false">
      <c r="A8" s="7" t="s">
        <v>20</v>
      </c>
      <c r="B8" s="8" t="n">
        <v>350</v>
      </c>
      <c r="C8" s="8" t="n">
        <v>380</v>
      </c>
      <c r="D8" s="8" t="n">
        <v>320</v>
      </c>
      <c r="E8" s="8" t="n">
        <v>420</v>
      </c>
      <c r="F8" s="8" t="n">
        <v>370</v>
      </c>
      <c r="G8" s="8" t="n">
        <v>360</v>
      </c>
      <c r="H8" s="8" t="n">
        <v>440</v>
      </c>
      <c r="I8" s="8" t="n">
        <v>400</v>
      </c>
      <c r="J8" s="8" t="n">
        <v>330</v>
      </c>
      <c r="K8" s="8" t="n">
        <v>410</v>
      </c>
      <c r="L8" s="8" t="n">
        <v>375</v>
      </c>
      <c r="M8" s="8" t="n">
        <v>310</v>
      </c>
      <c r="N8" s="9" t="n">
        <f aca="false">SUM(B8:M8)</f>
        <v>4465</v>
      </c>
    </row>
    <row r="9" customFormat="false" ht="15" hidden="false" customHeight="false" outlineLevel="0" collapsed="false">
      <c r="A9" s="7" t="s">
        <v>21</v>
      </c>
      <c r="B9" s="8" t="n">
        <v>200</v>
      </c>
      <c r="C9" s="8" t="n">
        <v>150</v>
      </c>
      <c r="D9" s="8" t="n">
        <v>180</v>
      </c>
      <c r="E9" s="8" t="n">
        <v>250</v>
      </c>
      <c r="F9" s="8" t="n">
        <v>200</v>
      </c>
      <c r="G9" s="8" t="n">
        <v>170</v>
      </c>
      <c r="H9" s="8" t="n">
        <v>280</v>
      </c>
      <c r="I9" s="8" t="n">
        <v>220</v>
      </c>
      <c r="J9" s="8" t="n">
        <v>190</v>
      </c>
      <c r="K9" s="8" t="n">
        <v>240</v>
      </c>
      <c r="L9" s="8" t="n">
        <v>200</v>
      </c>
      <c r="M9" s="8" t="n">
        <v>160</v>
      </c>
      <c r="N9" s="9" t="n">
        <f aca="false">SUM(B9:M9)</f>
        <v>2440</v>
      </c>
    </row>
    <row r="10" customFormat="false" ht="15" hidden="false" customHeight="false" outlineLevel="0" collapsed="false">
      <c r="A10" s="10" t="s">
        <v>22</v>
      </c>
      <c r="B10" s="11" t="n">
        <f aca="false">SUM(B6:B9)</f>
        <v>4600</v>
      </c>
      <c r="C10" s="11" t="n">
        <f aca="false">SUM(C6:C9)</f>
        <v>4950</v>
      </c>
      <c r="D10" s="11" t="n">
        <f aca="false">SUM(D6:D9)</f>
        <v>4380</v>
      </c>
      <c r="E10" s="11" t="n">
        <f aca="false">SUM(E6:E9)</f>
        <v>5520</v>
      </c>
      <c r="F10" s="11" t="n">
        <f aca="false">SUM(F6:F9)</f>
        <v>4920</v>
      </c>
      <c r="G10" s="11" t="n">
        <f aca="false">SUM(G6:G9)</f>
        <v>4710</v>
      </c>
      <c r="H10" s="11" t="n">
        <f aca="false">SUM(H6:H9)</f>
        <v>5820</v>
      </c>
      <c r="I10" s="11" t="n">
        <f aca="false">SUM(I6:I9)</f>
        <v>5220</v>
      </c>
      <c r="J10" s="11" t="n">
        <f aca="false">SUM(J6:J9)</f>
        <v>4570</v>
      </c>
      <c r="K10" s="11" t="n">
        <f aca="false">SUM(K6:K9)</f>
        <v>5400</v>
      </c>
      <c r="L10" s="11" t="n">
        <f aca="false">SUM(L6:L9)</f>
        <v>5025</v>
      </c>
      <c r="M10" s="11" t="n">
        <f aca="false">SUM(M6:M9)</f>
        <v>4270</v>
      </c>
      <c r="N10" s="11" t="n">
        <f aca="false">SUM(N6:N9)</f>
        <v>59385</v>
      </c>
    </row>
    <row r="12" customFormat="false" ht="15" hidden="false" customHeight="false" outlineLevel="0" collapsed="false">
      <c r="A12" s="5" t="s">
        <v>23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customFormat="false" ht="15" hidden="false" customHeight="false" outlineLevel="0" collapsed="false">
      <c r="A13" s="7" t="s">
        <v>24</v>
      </c>
      <c r="B13" s="8" t="n">
        <v>1200</v>
      </c>
      <c r="C13" s="8" t="n">
        <v>1350</v>
      </c>
      <c r="D13" s="8" t="n">
        <v>1100</v>
      </c>
      <c r="E13" s="8" t="n">
        <v>1500</v>
      </c>
      <c r="F13" s="8" t="n">
        <v>1300</v>
      </c>
      <c r="G13" s="8" t="n">
        <v>1250</v>
      </c>
      <c r="H13" s="8" t="n">
        <v>1600</v>
      </c>
      <c r="I13" s="8" t="n">
        <v>1400</v>
      </c>
      <c r="J13" s="8" t="n">
        <v>1150</v>
      </c>
      <c r="K13" s="8" t="n">
        <v>1450</v>
      </c>
      <c r="L13" s="8" t="n">
        <v>1350</v>
      </c>
      <c r="M13" s="8" t="n">
        <v>1050</v>
      </c>
      <c r="N13" s="9" t="n">
        <f aca="false">SUM(B13:M13)</f>
        <v>15700</v>
      </c>
    </row>
    <row r="14" customFormat="false" ht="15" hidden="false" customHeight="false" outlineLevel="0" collapsed="false">
      <c r="A14" s="7" t="s">
        <v>25</v>
      </c>
      <c r="B14" s="8" t="n">
        <v>150</v>
      </c>
      <c r="C14" s="8" t="n">
        <v>80</v>
      </c>
      <c r="D14" s="8" t="n">
        <v>200</v>
      </c>
      <c r="E14" s="8" t="n">
        <v>100</v>
      </c>
      <c r="F14" s="8" t="n">
        <v>120</v>
      </c>
      <c r="G14" s="8" t="n">
        <v>250</v>
      </c>
      <c r="H14" s="8" t="n">
        <v>80</v>
      </c>
      <c r="I14" s="8" t="n">
        <v>150</v>
      </c>
      <c r="J14" s="8" t="n">
        <v>300</v>
      </c>
      <c r="K14" s="8" t="n">
        <v>100</v>
      </c>
      <c r="L14" s="8" t="n">
        <v>90</v>
      </c>
      <c r="M14" s="8" t="n">
        <v>180</v>
      </c>
      <c r="N14" s="9" t="n">
        <f aca="false">SUM(B14:M14)</f>
        <v>1800</v>
      </c>
    </row>
    <row r="15" customFormat="false" ht="15" hidden="false" customHeight="false" outlineLevel="0" collapsed="false">
      <c r="A15" s="7" t="s">
        <v>26</v>
      </c>
      <c r="B15" s="8" t="n">
        <v>120</v>
      </c>
      <c r="C15" s="8" t="n">
        <v>120</v>
      </c>
      <c r="D15" s="8" t="n">
        <v>120</v>
      </c>
      <c r="E15" s="8" t="n">
        <v>120</v>
      </c>
      <c r="F15" s="8" t="n">
        <v>120</v>
      </c>
      <c r="G15" s="8" t="n">
        <v>120</v>
      </c>
      <c r="H15" s="8" t="n">
        <v>120</v>
      </c>
      <c r="I15" s="8" t="n">
        <v>120</v>
      </c>
      <c r="J15" s="8" t="n">
        <v>120</v>
      </c>
      <c r="K15" s="8" t="n">
        <v>120</v>
      </c>
      <c r="L15" s="8" t="n">
        <v>120</v>
      </c>
      <c r="M15" s="8" t="n">
        <v>120</v>
      </c>
      <c r="N15" s="9" t="n">
        <f aca="false">SUM(B15:M15)</f>
        <v>1440</v>
      </c>
    </row>
    <row r="16" customFormat="false" ht="15" hidden="false" customHeight="false" outlineLevel="0" collapsed="false">
      <c r="A16" s="7" t="s">
        <v>27</v>
      </c>
      <c r="B16" s="8" t="n">
        <v>50</v>
      </c>
      <c r="C16" s="8" t="n">
        <v>60</v>
      </c>
      <c r="D16" s="8" t="n">
        <v>45</v>
      </c>
      <c r="E16" s="8" t="n">
        <v>70</v>
      </c>
      <c r="F16" s="8" t="n">
        <v>55</v>
      </c>
      <c r="G16" s="8" t="n">
        <v>50</v>
      </c>
      <c r="H16" s="8" t="n">
        <v>75</v>
      </c>
      <c r="I16" s="8" t="n">
        <v>65</v>
      </c>
      <c r="J16" s="8" t="n">
        <v>48</v>
      </c>
      <c r="K16" s="8" t="n">
        <v>68</v>
      </c>
      <c r="L16" s="8" t="n">
        <v>58</v>
      </c>
      <c r="M16" s="8" t="n">
        <v>42</v>
      </c>
      <c r="N16" s="9" t="n">
        <f aca="false">SUM(B16:M16)</f>
        <v>686</v>
      </c>
    </row>
    <row r="17" customFormat="false" ht="15" hidden="false" customHeight="false" outlineLevel="0" collapsed="false">
      <c r="A17" s="7" t="s">
        <v>28</v>
      </c>
      <c r="B17" s="8" t="n">
        <v>0</v>
      </c>
      <c r="C17" s="8" t="n">
        <v>0</v>
      </c>
      <c r="D17" s="8" t="n">
        <v>500</v>
      </c>
      <c r="E17" s="8" t="n">
        <v>0</v>
      </c>
      <c r="F17" s="8" t="n">
        <v>0</v>
      </c>
      <c r="G17" s="8" t="n">
        <v>500</v>
      </c>
      <c r="H17" s="8" t="n">
        <v>0</v>
      </c>
      <c r="I17" s="8" t="n">
        <v>0</v>
      </c>
      <c r="J17" s="8" t="n">
        <v>500</v>
      </c>
      <c r="K17" s="8" t="n">
        <v>0</v>
      </c>
      <c r="L17" s="8" t="n">
        <v>0</v>
      </c>
      <c r="M17" s="8" t="n">
        <v>500</v>
      </c>
      <c r="N17" s="9" t="n">
        <f aca="false">SUM(B17:M17)</f>
        <v>2000</v>
      </c>
    </row>
    <row r="18" customFormat="false" ht="15" hidden="false" customHeight="false" outlineLevel="0" collapsed="false">
      <c r="A18" s="7" t="s">
        <v>29</v>
      </c>
      <c r="B18" s="8" t="n">
        <v>85</v>
      </c>
      <c r="C18" s="8" t="n">
        <v>85</v>
      </c>
      <c r="D18" s="8" t="n">
        <v>85</v>
      </c>
      <c r="E18" s="8" t="n">
        <v>85</v>
      </c>
      <c r="F18" s="8" t="n">
        <v>85</v>
      </c>
      <c r="G18" s="8" t="n">
        <v>85</v>
      </c>
      <c r="H18" s="8" t="n">
        <v>85</v>
      </c>
      <c r="I18" s="8" t="n">
        <v>85</v>
      </c>
      <c r="J18" s="8" t="n">
        <v>85</v>
      </c>
      <c r="K18" s="8" t="n">
        <v>85</v>
      </c>
      <c r="L18" s="8" t="n">
        <v>85</v>
      </c>
      <c r="M18" s="8" t="n">
        <v>85</v>
      </c>
      <c r="N18" s="9" t="n">
        <f aca="false">SUM(B18:M18)</f>
        <v>1020</v>
      </c>
    </row>
    <row r="19" customFormat="false" ht="15" hidden="false" customHeight="false" outlineLevel="0" collapsed="false">
      <c r="A19" s="7" t="s">
        <v>30</v>
      </c>
      <c r="B19" s="8" t="n">
        <v>30</v>
      </c>
      <c r="C19" s="8" t="n">
        <v>35</v>
      </c>
      <c r="D19" s="8" t="n">
        <v>40</v>
      </c>
      <c r="E19" s="8" t="n">
        <v>45</v>
      </c>
      <c r="F19" s="8" t="n">
        <v>35</v>
      </c>
      <c r="G19" s="8" t="n">
        <v>30</v>
      </c>
      <c r="H19" s="8" t="n">
        <v>50</v>
      </c>
      <c r="I19" s="8" t="n">
        <v>40</v>
      </c>
      <c r="J19" s="8" t="n">
        <v>55</v>
      </c>
      <c r="K19" s="8" t="n">
        <v>35</v>
      </c>
      <c r="L19" s="8" t="n">
        <v>30</v>
      </c>
      <c r="M19" s="8" t="n">
        <v>25</v>
      </c>
      <c r="N19" s="9" t="n">
        <f aca="false">SUM(B19:M19)</f>
        <v>450</v>
      </c>
    </row>
    <row r="20" customFormat="false" ht="15" hidden="false" customHeight="false" outlineLevel="0" collapsed="false">
      <c r="A20" s="10" t="s">
        <v>31</v>
      </c>
      <c r="B20" s="11" t="n">
        <f aca="false">SUM(B13:B19)</f>
        <v>1635</v>
      </c>
      <c r="C20" s="11" t="n">
        <f aca="false">SUM(C13:C19)</f>
        <v>1730</v>
      </c>
      <c r="D20" s="11" t="n">
        <f aca="false">SUM(D13:D19)</f>
        <v>2090</v>
      </c>
      <c r="E20" s="11" t="n">
        <f aca="false">SUM(E13:E19)</f>
        <v>1920</v>
      </c>
      <c r="F20" s="11" t="n">
        <f aca="false">SUM(F13:F19)</f>
        <v>1715</v>
      </c>
      <c r="G20" s="11" t="n">
        <f aca="false">SUM(G13:G19)</f>
        <v>2285</v>
      </c>
      <c r="H20" s="11" t="n">
        <f aca="false">SUM(H13:H19)</f>
        <v>2010</v>
      </c>
      <c r="I20" s="11" t="n">
        <f aca="false">SUM(I13:I19)</f>
        <v>1860</v>
      </c>
      <c r="J20" s="11" t="n">
        <f aca="false">SUM(J13:J19)</f>
        <v>2258</v>
      </c>
      <c r="K20" s="11" t="n">
        <f aca="false">SUM(K13:K19)</f>
        <v>1858</v>
      </c>
      <c r="L20" s="11" t="n">
        <f aca="false">SUM(L13:L19)</f>
        <v>1733</v>
      </c>
      <c r="M20" s="11" t="n">
        <f aca="false">SUM(M13:M19)</f>
        <v>2002</v>
      </c>
      <c r="N20" s="11" t="n">
        <f aca="false">SUM(N13:N19)</f>
        <v>23096</v>
      </c>
    </row>
    <row r="22" customFormat="false" ht="15" hidden="false" customHeight="false" outlineLevel="0" collapsed="false">
      <c r="A22" s="12" t="s">
        <v>32</v>
      </c>
      <c r="B22" s="13" t="n">
        <f aca="false">B10-B20</f>
        <v>2965</v>
      </c>
      <c r="C22" s="13" t="n">
        <f aca="false">C10-C20</f>
        <v>3220</v>
      </c>
      <c r="D22" s="13" t="n">
        <f aca="false">D10-D20</f>
        <v>2290</v>
      </c>
      <c r="E22" s="13" t="n">
        <f aca="false">E10-E20</f>
        <v>3600</v>
      </c>
      <c r="F22" s="13" t="n">
        <f aca="false">F10-F20</f>
        <v>3205</v>
      </c>
      <c r="G22" s="13" t="n">
        <f aca="false">G10-G20</f>
        <v>2425</v>
      </c>
      <c r="H22" s="13" t="n">
        <f aca="false">H10-H20</f>
        <v>3810</v>
      </c>
      <c r="I22" s="13" t="n">
        <f aca="false">I10-I20</f>
        <v>3360</v>
      </c>
      <c r="J22" s="13" t="n">
        <f aca="false">J10-J20</f>
        <v>2312</v>
      </c>
      <c r="K22" s="13" t="n">
        <f aca="false">K10-K20</f>
        <v>3542</v>
      </c>
      <c r="L22" s="13" t="n">
        <f aca="false">L10-L20</f>
        <v>3292</v>
      </c>
      <c r="M22" s="13" t="n">
        <f aca="false">M10-M20</f>
        <v>2268</v>
      </c>
      <c r="N22" s="13" t="n">
        <f aca="false">N10-N20</f>
        <v>36289</v>
      </c>
    </row>
  </sheetData>
  <mergeCells count="3">
    <mergeCell ref="A1:N1"/>
    <mergeCell ref="A2:N2"/>
    <mergeCell ref="A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13" min="2" style="0" width="13"/>
    <col collapsed="false" customWidth="true" hidden="false" outlineLevel="0" max="14" min="14" style="0" width="15"/>
  </cols>
  <sheetData>
    <row r="1" customFormat="false" ht="17.35" hidden="false" customHeight="false" outlineLevel="0" collapsed="false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 t="s">
        <v>35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customFormat="false" ht="15" hidden="false" customHeight="false" outlineLevel="0" collapsed="false">
      <c r="A5" s="5" t="s">
        <v>17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customFormat="false" ht="15" hidden="false" customHeight="false" outlineLevel="0" collapsed="false">
      <c r="A6" s="7" t="s">
        <v>36</v>
      </c>
      <c r="B6" s="8" t="n">
        <v>420</v>
      </c>
      <c r="C6" s="8" t="n">
        <v>460</v>
      </c>
      <c r="D6" s="8" t="n">
        <v>390</v>
      </c>
      <c r="E6" s="8" t="n">
        <v>510</v>
      </c>
      <c r="F6" s="8" t="n">
        <v>450</v>
      </c>
      <c r="G6" s="8" t="n">
        <v>430</v>
      </c>
      <c r="H6" s="8" t="n">
        <v>540</v>
      </c>
      <c r="I6" s="8" t="n">
        <v>480</v>
      </c>
      <c r="J6" s="8" t="n">
        <v>400</v>
      </c>
      <c r="K6" s="8" t="n">
        <v>500</v>
      </c>
      <c r="L6" s="8" t="n">
        <v>460</v>
      </c>
      <c r="M6" s="8" t="n">
        <v>380</v>
      </c>
      <c r="N6" s="9" t="n">
        <f aca="false">SUM(B6:M6)</f>
        <v>5420</v>
      </c>
    </row>
    <row r="7" customFormat="false" ht="15" hidden="false" customHeight="false" outlineLevel="0" collapsed="false">
      <c r="A7" s="7" t="s">
        <v>37</v>
      </c>
      <c r="B7" s="8" t="n">
        <v>350</v>
      </c>
      <c r="C7" s="8" t="n">
        <v>380</v>
      </c>
      <c r="D7" s="8" t="n">
        <v>320</v>
      </c>
      <c r="E7" s="8" t="n">
        <v>420</v>
      </c>
      <c r="F7" s="8" t="n">
        <v>370</v>
      </c>
      <c r="G7" s="8" t="n">
        <v>360</v>
      </c>
      <c r="H7" s="8" t="n">
        <v>440</v>
      </c>
      <c r="I7" s="8" t="n">
        <v>400</v>
      </c>
      <c r="J7" s="8" t="n">
        <v>330</v>
      </c>
      <c r="K7" s="8" t="n">
        <v>410</v>
      </c>
      <c r="L7" s="8" t="n">
        <v>375</v>
      </c>
      <c r="M7" s="8" t="n">
        <v>310</v>
      </c>
      <c r="N7" s="9" t="n">
        <f aca="false">SUM(B7:M7)</f>
        <v>4465</v>
      </c>
    </row>
    <row r="8" customFormat="false" ht="15" hidden="false" customHeight="false" outlineLevel="0" collapsed="false">
      <c r="A8" s="7" t="s">
        <v>38</v>
      </c>
      <c r="B8" s="8" t="n">
        <v>180</v>
      </c>
      <c r="C8" s="8" t="n">
        <v>200</v>
      </c>
      <c r="D8" s="8" t="n">
        <v>165</v>
      </c>
      <c r="E8" s="8" t="n">
        <v>220</v>
      </c>
      <c r="F8" s="8" t="n">
        <v>195</v>
      </c>
      <c r="G8" s="8" t="n">
        <v>185</v>
      </c>
      <c r="H8" s="8" t="n">
        <v>230</v>
      </c>
      <c r="I8" s="8" t="n">
        <v>210</v>
      </c>
      <c r="J8" s="8" t="n">
        <v>170</v>
      </c>
      <c r="K8" s="8" t="n">
        <v>215</v>
      </c>
      <c r="L8" s="8" t="n">
        <v>198</v>
      </c>
      <c r="M8" s="8" t="n">
        <v>160</v>
      </c>
      <c r="N8" s="9" t="n">
        <f aca="false">SUM(B8:M8)</f>
        <v>2328</v>
      </c>
    </row>
    <row r="9" customFormat="false" ht="15" hidden="false" customHeight="false" outlineLevel="0" collapsed="false">
      <c r="A9" s="7" t="s">
        <v>39</v>
      </c>
      <c r="B9" s="8" t="n">
        <v>120</v>
      </c>
      <c r="C9" s="8" t="n">
        <v>140</v>
      </c>
      <c r="D9" s="8" t="n">
        <v>110</v>
      </c>
      <c r="E9" s="8" t="n">
        <v>160</v>
      </c>
      <c r="F9" s="8" t="n">
        <v>130</v>
      </c>
      <c r="G9" s="8" t="n">
        <v>125</v>
      </c>
      <c r="H9" s="8" t="n">
        <v>170</v>
      </c>
      <c r="I9" s="8" t="n">
        <v>150</v>
      </c>
      <c r="J9" s="8" t="n">
        <v>115</v>
      </c>
      <c r="K9" s="8" t="n">
        <v>155</v>
      </c>
      <c r="L9" s="8" t="n">
        <v>135</v>
      </c>
      <c r="M9" s="8" t="n">
        <v>105</v>
      </c>
      <c r="N9" s="9" t="n">
        <f aca="false">SUM(B9:M9)</f>
        <v>1615</v>
      </c>
    </row>
    <row r="10" customFormat="false" ht="15" hidden="false" customHeight="false" outlineLevel="0" collapsed="false">
      <c r="A10" s="10" t="s">
        <v>40</v>
      </c>
      <c r="B10" s="11" t="n">
        <f aca="false">SUM(B6:B9)</f>
        <v>1070</v>
      </c>
      <c r="C10" s="11" t="n">
        <f aca="false">SUM(C6:C9)</f>
        <v>1180</v>
      </c>
      <c r="D10" s="11" t="n">
        <f aca="false">SUM(D6:D9)</f>
        <v>985</v>
      </c>
      <c r="E10" s="11" t="n">
        <f aca="false">SUM(E6:E9)</f>
        <v>1310</v>
      </c>
      <c r="F10" s="11" t="n">
        <f aca="false">SUM(F6:F9)</f>
        <v>1145</v>
      </c>
      <c r="G10" s="11" t="n">
        <f aca="false">SUM(G6:G9)</f>
        <v>1100</v>
      </c>
      <c r="H10" s="11" t="n">
        <f aca="false">SUM(H6:H9)</f>
        <v>1380</v>
      </c>
      <c r="I10" s="11" t="n">
        <f aca="false">SUM(I6:I9)</f>
        <v>1240</v>
      </c>
      <c r="J10" s="11" t="n">
        <f aca="false">SUM(J6:J9)</f>
        <v>1015</v>
      </c>
      <c r="K10" s="11" t="n">
        <f aca="false">SUM(K6:K9)</f>
        <v>1280</v>
      </c>
      <c r="L10" s="11" t="n">
        <f aca="false">SUM(L6:L9)</f>
        <v>1168</v>
      </c>
      <c r="M10" s="11" t="n">
        <f aca="false">SUM(M6:M9)</f>
        <v>955</v>
      </c>
      <c r="N10" s="11" t="n">
        <f aca="false">SUM(N6:N9)</f>
        <v>13828</v>
      </c>
    </row>
    <row r="12" customFormat="false" ht="15" hidden="false" customHeight="false" outlineLevel="0" collapsed="false">
      <c r="A12" s="5" t="s">
        <v>23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customFormat="false" ht="15" hidden="false" customHeight="false" outlineLevel="0" collapsed="false">
      <c r="A13" s="7" t="s">
        <v>41</v>
      </c>
      <c r="B13" s="8" t="n">
        <v>180</v>
      </c>
      <c r="C13" s="8" t="n">
        <v>200</v>
      </c>
      <c r="D13" s="8" t="n">
        <v>160</v>
      </c>
      <c r="E13" s="8" t="n">
        <v>220</v>
      </c>
      <c r="F13" s="8" t="n">
        <v>190</v>
      </c>
      <c r="G13" s="8" t="n">
        <v>180</v>
      </c>
      <c r="H13" s="8" t="n">
        <v>230</v>
      </c>
      <c r="I13" s="8" t="n">
        <v>210</v>
      </c>
      <c r="J13" s="8" t="n">
        <v>170</v>
      </c>
      <c r="K13" s="8" t="n">
        <v>210</v>
      </c>
      <c r="L13" s="8" t="n">
        <v>195</v>
      </c>
      <c r="M13" s="8" t="n">
        <v>150</v>
      </c>
      <c r="N13" s="9" t="n">
        <f aca="false">SUM(B13:M13)</f>
        <v>2295</v>
      </c>
    </row>
    <row r="14" customFormat="false" ht="15" hidden="false" customHeight="false" outlineLevel="0" collapsed="false">
      <c r="A14" s="7" t="s">
        <v>42</v>
      </c>
      <c r="B14" s="8" t="n">
        <v>50</v>
      </c>
      <c r="C14" s="8" t="n">
        <v>50</v>
      </c>
      <c r="D14" s="8" t="n">
        <v>50</v>
      </c>
      <c r="E14" s="8" t="n">
        <v>50</v>
      </c>
      <c r="F14" s="8" t="n">
        <v>50</v>
      </c>
      <c r="G14" s="8" t="n">
        <v>50</v>
      </c>
      <c r="H14" s="8" t="n">
        <v>50</v>
      </c>
      <c r="I14" s="8" t="n">
        <v>50</v>
      </c>
      <c r="J14" s="8" t="n">
        <v>50</v>
      </c>
      <c r="K14" s="8" t="n">
        <v>50</v>
      </c>
      <c r="L14" s="8" t="n">
        <v>50</v>
      </c>
      <c r="M14" s="8" t="n">
        <v>50</v>
      </c>
      <c r="N14" s="9" t="n">
        <f aca="false">SUM(B14:M14)</f>
        <v>600</v>
      </c>
    </row>
    <row r="15" customFormat="false" ht="15" hidden="false" customHeight="false" outlineLevel="0" collapsed="false">
      <c r="A15" s="7" t="s">
        <v>43</v>
      </c>
      <c r="B15" s="8" t="n">
        <v>25</v>
      </c>
      <c r="C15" s="8" t="n">
        <v>28</v>
      </c>
      <c r="D15" s="8" t="n">
        <v>22</v>
      </c>
      <c r="E15" s="8" t="n">
        <v>30</v>
      </c>
      <c r="F15" s="8" t="n">
        <v>26</v>
      </c>
      <c r="G15" s="8" t="n">
        <v>24</v>
      </c>
      <c r="H15" s="8" t="n">
        <v>32</v>
      </c>
      <c r="I15" s="8" t="n">
        <v>28</v>
      </c>
      <c r="J15" s="8" t="n">
        <v>23</v>
      </c>
      <c r="K15" s="8" t="n">
        <v>29</v>
      </c>
      <c r="L15" s="8" t="n">
        <v>27</v>
      </c>
      <c r="M15" s="8" t="n">
        <v>20</v>
      </c>
      <c r="N15" s="9" t="n">
        <f aca="false">SUM(B15:M15)</f>
        <v>314</v>
      </c>
    </row>
    <row r="16" customFormat="false" ht="15" hidden="false" customHeight="false" outlineLevel="0" collapsed="false">
      <c r="A16" s="10" t="s">
        <v>44</v>
      </c>
      <c r="B16" s="11" t="n">
        <f aca="false">SUM(B13:B15)</f>
        <v>255</v>
      </c>
      <c r="C16" s="11" t="n">
        <f aca="false">SUM(C13:C15)</f>
        <v>278</v>
      </c>
      <c r="D16" s="11" t="n">
        <f aca="false">SUM(D13:D15)</f>
        <v>232</v>
      </c>
      <c r="E16" s="11" t="n">
        <f aca="false">SUM(E13:E15)</f>
        <v>300</v>
      </c>
      <c r="F16" s="11" t="n">
        <f aca="false">SUM(F13:F15)</f>
        <v>266</v>
      </c>
      <c r="G16" s="11" t="n">
        <f aca="false">SUM(G13:G15)</f>
        <v>254</v>
      </c>
      <c r="H16" s="11" t="n">
        <f aca="false">SUM(H13:H15)</f>
        <v>312</v>
      </c>
      <c r="I16" s="11" t="n">
        <f aca="false">SUM(I13:I15)</f>
        <v>288</v>
      </c>
      <c r="J16" s="11" t="n">
        <f aca="false">SUM(J13:J15)</f>
        <v>243</v>
      </c>
      <c r="K16" s="11" t="n">
        <f aca="false">SUM(K13:K15)</f>
        <v>289</v>
      </c>
      <c r="L16" s="11" t="n">
        <f aca="false">SUM(L13:L15)</f>
        <v>272</v>
      </c>
      <c r="M16" s="11" t="n">
        <f aca="false">SUM(M13:M15)</f>
        <v>220</v>
      </c>
      <c r="N16" s="11" t="n">
        <f aca="false">SUM(N13:N15)</f>
        <v>3209</v>
      </c>
    </row>
    <row r="18" customFormat="false" ht="15" hidden="false" customHeight="false" outlineLevel="0" collapsed="false">
      <c r="A18" s="12" t="s">
        <v>45</v>
      </c>
      <c r="B18" s="13" t="n">
        <f aca="false">B10-B16</f>
        <v>815</v>
      </c>
      <c r="C18" s="13" t="n">
        <f aca="false">C10-C16</f>
        <v>902</v>
      </c>
      <c r="D18" s="13" t="n">
        <f aca="false">D10-D16</f>
        <v>753</v>
      </c>
      <c r="E18" s="13" t="n">
        <f aca="false">E10-E16</f>
        <v>1010</v>
      </c>
      <c r="F18" s="13" t="n">
        <f aca="false">F10-F16</f>
        <v>879</v>
      </c>
      <c r="G18" s="13" t="n">
        <f aca="false">G10-G16</f>
        <v>846</v>
      </c>
      <c r="H18" s="13" t="n">
        <f aca="false">H10-H16</f>
        <v>1068</v>
      </c>
      <c r="I18" s="13" t="n">
        <f aca="false">I10-I16</f>
        <v>952</v>
      </c>
      <c r="J18" s="13" t="n">
        <f aca="false">J10-J16</f>
        <v>772</v>
      </c>
      <c r="K18" s="13" t="n">
        <f aca="false">K10-K16</f>
        <v>991</v>
      </c>
      <c r="L18" s="13" t="n">
        <f aca="false">L10-L16</f>
        <v>896</v>
      </c>
      <c r="M18" s="13" t="n">
        <f aca="false">M10-M16</f>
        <v>735</v>
      </c>
      <c r="N18" s="13" t="n">
        <f aca="false">N10-N16</f>
        <v>10619</v>
      </c>
    </row>
  </sheetData>
  <mergeCells count="3">
    <mergeCell ref="A1:N1"/>
    <mergeCell ref="A2:N2"/>
    <mergeCell ref="A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2026-04-14T07:05:33Z</dcterms:created>
  <dc:creator>openpyxl</dc:creator>
  <dc:description/>
  <dc:language>en-US</dc:language>
  <cp:lastModifiedBy/>
  <dcterms:modified xsi:type="dcterms:W3CDTF">2026-04-14T07:05:33Z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